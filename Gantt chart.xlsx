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CER\Desktop\"/>
    </mc:Choice>
  </mc:AlternateContent>
  <xr:revisionPtr revIDLastSave="0" documentId="8_{3F09D6A3-D102-46B0-83FB-D38FFB9B97F6}" xr6:coauthVersionLast="47" xr6:coauthVersionMax="47" xr10:uidLastSave="{00000000-0000-0000-0000-000000000000}"/>
  <bookViews>
    <workbookView xWindow="11424" yWindow="0" windowWidth="11712" windowHeight="13776" xr2:uid="{087BF748-173E-456C-BB33-3B72342B18E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W7" i="1" l="1"/>
  <c r="X7" i="1"/>
  <c r="Y7" i="1"/>
  <c r="Z7" i="1" s="1"/>
  <c r="AA7" i="1" s="1"/>
  <c r="AB7" i="1" s="1"/>
  <c r="W8" i="1"/>
  <c r="X8" i="1"/>
  <c r="Y8" i="1"/>
  <c r="Z8" i="1"/>
  <c r="AA8" i="1"/>
  <c r="AB8" i="1" s="1"/>
  <c r="G7" i="1"/>
  <c r="H7" i="1" s="1"/>
  <c r="I7" i="1" s="1"/>
  <c r="J7" i="1" s="1"/>
  <c r="K7" i="1" s="1"/>
  <c r="L7" i="1" s="1"/>
  <c r="M7" i="1" s="1"/>
  <c r="N7" i="1" s="1"/>
  <c r="O7" i="1" s="1"/>
  <c r="P7" i="1" s="1"/>
  <c r="Q7" i="1" s="1"/>
  <c r="R7" i="1" s="1"/>
  <c r="S7" i="1" s="1"/>
  <c r="T7" i="1" s="1"/>
  <c r="U7" i="1" s="1"/>
  <c r="V7" i="1" s="1"/>
  <c r="H8" i="1"/>
  <c r="I8" i="1" s="1"/>
  <c r="J8" i="1" s="1"/>
  <c r="K8" i="1" s="1"/>
  <c r="L8" i="1" s="1"/>
  <c r="M8" i="1" s="1"/>
  <c r="N8" i="1" s="1"/>
  <c r="O8" i="1" s="1"/>
  <c r="P8" i="1" s="1"/>
  <c r="Q8" i="1" s="1"/>
  <c r="R8" i="1" s="1"/>
  <c r="S8" i="1" s="1"/>
  <c r="T8" i="1" s="1"/>
  <c r="U8" i="1" s="1"/>
  <c r="V8" i="1" s="1"/>
  <c r="B5" i="1"/>
</calcChain>
</file>

<file path=xl/sharedStrings.xml><?xml version="1.0" encoding="utf-8"?>
<sst xmlns="http://schemas.openxmlformats.org/spreadsheetml/2006/main" count="34" uniqueCount="26">
  <si>
    <t>Task</t>
  </si>
  <si>
    <t>End Date</t>
  </si>
  <si>
    <t>Percent</t>
  </si>
  <si>
    <t>Task 1</t>
  </si>
  <si>
    <t>Task 2</t>
  </si>
  <si>
    <t>Task 3</t>
  </si>
  <si>
    <t>Task 4</t>
  </si>
  <si>
    <t>Planning Stage</t>
  </si>
  <si>
    <t>Mike Smith</t>
  </si>
  <si>
    <t>Sarah Lee</t>
  </si>
  <si>
    <t>Arnold West</t>
  </si>
  <si>
    <t>Jeff Shunar</t>
  </si>
  <si>
    <t>Travis Scor</t>
  </si>
  <si>
    <t>Verna Hum</t>
  </si>
  <si>
    <t>Raleigh Lee</t>
  </si>
  <si>
    <t>Jess Yuan</t>
  </si>
  <si>
    <t>Task 5</t>
  </si>
  <si>
    <t>Anna Glen</t>
  </si>
  <si>
    <t>Lead</t>
  </si>
  <si>
    <t>Start Date</t>
  </si>
  <si>
    <t>Days</t>
  </si>
  <si>
    <t>Project Name:</t>
  </si>
  <si>
    <t>Project Start:</t>
  </si>
  <si>
    <t>Current Date:</t>
  </si>
  <si>
    <t>Weeks in progress:</t>
  </si>
  <si>
    <t>ABC Test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</si>
</sst>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0" formatCode="m/d/yy;@"/>
    <numFmt numFmtId="172" formatCode="\W\k\ #"/>
  </numFmts>
  <fonts count="4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Arial Unicode MS"/>
    </font>
  </fonts>
  <fills count="4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theme="6"/>
      </top>
      <bottom style="thin">
        <color theme="6"/>
      </bottom>
      <diagonal/>
    </border>
  </borders>
  <cellStyleXfs count="1">
    <xf numFmtId="0" fontId="0" fillId="0" borderId="0"/>
  </cellStyleXfs>
  <cellXfs count="23">
    <xf numFmtId="0" fontId="0" fillId="0" borderId="0" xfId="0"/>
    <xf numFmtId="14" fontId="0" fillId="0" borderId="0" xfId="0" applyNumberFormat="1"/>
    <xf numFmtId="9" fontId="0" fillId="0" borderId="0" xfId="0" applyNumberFormat="1"/>
    <xf numFmtId="0" fontId="3" fillId="0" borderId="0" xfId="0" applyFont="1" applyAlignment="1">
      <alignment vertical="center"/>
    </xf>
    <xf numFmtId="170" fontId="0" fillId="0" borderId="0" xfId="0" applyNumberFormat="1"/>
    <xf numFmtId="0" fontId="1" fillId="2" borderId="0" xfId="0" applyFont="1" applyFill="1"/>
    <xf numFmtId="0" fontId="0" fillId="3" borderId="0" xfId="0" applyFill="1"/>
    <xf numFmtId="0" fontId="3" fillId="0" borderId="1" xfId="0" applyFont="1" applyBorder="1" applyAlignment="1">
      <alignment vertical="center"/>
    </xf>
    <xf numFmtId="0" fontId="0" fillId="0" borderId="1" xfId="0" applyBorder="1"/>
    <xf numFmtId="14" fontId="0" fillId="0" borderId="1" xfId="0" applyNumberFormat="1" applyBorder="1"/>
    <xf numFmtId="0" fontId="0" fillId="0" borderId="1" xfId="0" applyNumberFormat="1" applyBorder="1"/>
    <xf numFmtId="9" fontId="0" fillId="0" borderId="1" xfId="0" applyNumberFormat="1" applyBorder="1"/>
    <xf numFmtId="0" fontId="0" fillId="3" borderId="1" xfId="0" applyFill="1" applyBorder="1" applyAlignment="1">
      <alignment vertical="center"/>
    </xf>
    <xf numFmtId="0" fontId="0" fillId="3" borderId="1" xfId="0" applyFill="1" applyBorder="1"/>
    <xf numFmtId="0" fontId="0" fillId="3" borderId="1" xfId="0" applyNumberFormat="1" applyFill="1" applyBorder="1"/>
    <xf numFmtId="0" fontId="0" fillId="0" borderId="0" xfId="0" applyAlignment="1">
      <alignment horizontal="right"/>
    </xf>
    <xf numFmtId="172" fontId="0" fillId="0" borderId="0" xfId="0" applyNumberFormat="1"/>
    <xf numFmtId="0" fontId="3" fillId="3" borderId="1" xfId="0" applyFont="1" applyFill="1" applyBorder="1" applyAlignment="1">
      <alignment vertical="center"/>
    </xf>
    <xf numFmtId="170" fontId="0" fillId="3" borderId="1" xfId="0" applyNumberFormat="1" applyFill="1" applyBorder="1"/>
    <xf numFmtId="14" fontId="0" fillId="3" borderId="1" xfId="0" applyNumberFormat="1" applyFill="1" applyBorder="1"/>
    <xf numFmtId="9" fontId="0" fillId="3" borderId="1" xfId="0" applyNumberFormat="1" applyFill="1" applyBorder="1"/>
    <xf numFmtId="172" fontId="1" fillId="2" borderId="0" xfId="0" applyNumberFormat="1" applyFont="1" applyFill="1"/>
    <xf numFmtId="170" fontId="1" fillId="2" borderId="0" xfId="0" applyNumberFormat="1" applyFont="1" applyFill="1"/>
  </cellXfs>
  <cellStyles count="1">
    <cellStyle name="Normal" xfId="0" builtinId="0"/>
  </cellStyles>
  <dxfs count="15">
    <dxf>
      <font>
        <color theme="0"/>
      </font>
      <fill>
        <patternFill>
          <fgColor theme="0"/>
          <bgColor rgb="FF0070C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fgColor theme="4" tint="0.39991454817346722"/>
          <bgColor theme="8" tint="0.39994506668294322"/>
        </patternFill>
      </fill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/>
        <horizontal/>
      </border>
    </dxf>
    <dxf>
      <font>
        <color theme="0"/>
      </font>
      <fill>
        <patternFill>
          <fgColor theme="0"/>
          <bgColor rgb="FF0070C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fgColor theme="4" tint="0.39991454817346722"/>
          <bgColor theme="8" tint="0.39994506668294322"/>
        </patternFill>
      </fill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/>
        <horizontal/>
      </border>
    </dxf>
    <dxf>
      <font>
        <color theme="0"/>
      </font>
      <fill>
        <patternFill>
          <fgColor theme="0"/>
          <bgColor rgb="FF0070C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fgColor theme="4" tint="0.39991454817346722"/>
          <bgColor theme="8" tint="0.39994506668294322"/>
        </patternFill>
      </fill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/>
        <horizontal/>
      </border>
    </dxf>
    <dxf>
      <fill>
        <patternFill>
          <bgColor rgb="FF0070C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fgColor theme="4" tint="0.39991454817346722"/>
          <bgColor theme="8" tint="0.39994506668294322"/>
        </patternFill>
      </fill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/>
        <horizontal/>
      </border>
    </dxf>
    <dxf>
      <fill>
        <patternFill>
          <fgColor theme="4" tint="0.39991454817346722"/>
          <bgColor theme="8" tint="0.39994506668294322"/>
        </patternFill>
      </fill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/>
        <horizontal/>
      </border>
    </dxf>
    <dxf>
      <fill>
        <patternFill>
          <fgColor theme="4" tint="0.39991454817346722"/>
          <bgColor theme="8" tint="0.39994506668294322"/>
        </patternFill>
      </fill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/>
        <horizontal/>
      </border>
    </dxf>
    <dxf>
      <fill>
        <patternFill>
          <fgColor theme="4" tint="0.39991454817346722"/>
          <bgColor theme="8" tint="0.39994506668294322"/>
        </patternFill>
      </fill>
      <border>
        <vertical/>
        <horizontal/>
      </border>
    </dxf>
    <dxf>
      <fill>
        <patternFill>
          <fgColor theme="4" tint="0.39991454817346722"/>
          <bgColor theme="8" tint="0.39994506668294322"/>
        </patternFill>
      </fill>
      <border>
        <vertical/>
        <horizontal/>
      </border>
    </dxf>
    <dxf>
      <fill>
        <patternFill>
          <fgColor theme="4" tint="0.39994506668294322"/>
        </patternFill>
      </fill>
      <border>
        <vertical/>
        <horizontal/>
      </border>
    </dxf>
    <dxf>
      <fill>
        <patternFill>
          <fgColor theme="4" tint="0.39994506668294322"/>
        </patternFill>
      </fill>
      <border>
        <vertical/>
        <horizontal/>
      </border>
    </dxf>
    <dxf>
      <fill>
        <patternFill>
          <fgColor theme="4" tint="0.39994506668294322"/>
        </patternFill>
      </fill>
      <border>
        <vertical/>
        <horizontal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9DBFDA-4421-47EB-8438-1C6FEB05E1D7}">
  <dimension ref="A2:AB39"/>
  <sheetViews>
    <sheetView tabSelected="1" zoomScale="50" zoomScaleNormal="50" workbookViewId="0">
      <selection activeCell="D11" sqref="D11"/>
    </sheetView>
  </sheetViews>
  <sheetFormatPr defaultRowHeight="14.4" x14ac:dyDescent="0.3"/>
  <cols>
    <col min="1" max="1" width="17.88671875" customWidth="1"/>
    <col min="2" max="2" width="15.88671875" customWidth="1"/>
    <col min="3" max="3" width="14.88671875" customWidth="1"/>
    <col min="4" max="4" width="14.44140625" customWidth="1"/>
    <col min="5" max="5" width="11.77734375" customWidth="1"/>
  </cols>
  <sheetData>
    <row r="2" spans="1:28" x14ac:dyDescent="0.3">
      <c r="A2" s="15" t="s">
        <v>21</v>
      </c>
      <c r="B2" t="s">
        <v>25</v>
      </c>
    </row>
    <row r="3" spans="1:28" x14ac:dyDescent="0.3">
      <c r="A3" s="15" t="s">
        <v>22</v>
      </c>
      <c r="B3" s="4">
        <v>46032</v>
      </c>
    </row>
    <row r="4" spans="1:28" x14ac:dyDescent="0.3">
      <c r="A4" s="15" t="s">
        <v>23</v>
      </c>
      <c r="B4" s="1">
        <v>46063</v>
      </c>
    </row>
    <row r="5" spans="1:28" x14ac:dyDescent="0.3">
      <c r="A5" s="15" t="s">
        <v>24</v>
      </c>
      <c r="B5" s="16">
        <f>ROUNDUP((B4-B3)/7,0)</f>
        <v>5</v>
      </c>
    </row>
    <row r="6" spans="1:28" x14ac:dyDescent="0.3">
      <c r="A6" s="15"/>
    </row>
    <row r="7" spans="1:28" s="5" customFormat="1" x14ac:dyDescent="0.3">
      <c r="G7" s="22">
        <f>B3</f>
        <v>46032</v>
      </c>
      <c r="H7" s="22">
        <f>G7+7</f>
        <v>46039</v>
      </c>
      <c r="I7" s="22">
        <f t="shared" ref="I7:V7" si="0">H7+7</f>
        <v>46046</v>
      </c>
      <c r="J7" s="22">
        <f t="shared" si="0"/>
        <v>46053</v>
      </c>
      <c r="K7" s="22">
        <f t="shared" si="0"/>
        <v>46060</v>
      </c>
      <c r="L7" s="22">
        <f t="shared" si="0"/>
        <v>46067</v>
      </c>
      <c r="M7" s="22">
        <f t="shared" si="0"/>
        <v>46074</v>
      </c>
      <c r="N7" s="22">
        <f t="shared" si="0"/>
        <v>46081</v>
      </c>
      <c r="O7" s="22">
        <f t="shared" si="0"/>
        <v>46088</v>
      </c>
      <c r="P7" s="22">
        <f t="shared" si="0"/>
        <v>46095</v>
      </c>
      <c r="Q7" s="22">
        <f t="shared" si="0"/>
        <v>46102</v>
      </c>
      <c r="R7" s="22">
        <f t="shared" si="0"/>
        <v>46109</v>
      </c>
      <c r="S7" s="22">
        <f t="shared" si="0"/>
        <v>46116</v>
      </c>
      <c r="T7" s="22">
        <f t="shared" si="0"/>
        <v>46123</v>
      </c>
      <c r="U7" s="22">
        <f t="shared" si="0"/>
        <v>46130</v>
      </c>
      <c r="V7" s="22">
        <f t="shared" si="0"/>
        <v>46137</v>
      </c>
      <c r="W7" s="22">
        <f t="shared" ref="W7:AB7" si="1">V7+7</f>
        <v>46144</v>
      </c>
      <c r="X7" s="22">
        <f t="shared" si="1"/>
        <v>46151</v>
      </c>
      <c r="Y7" s="22">
        <f t="shared" si="1"/>
        <v>46158</v>
      </c>
      <c r="Z7" s="22">
        <f t="shared" si="1"/>
        <v>46165</v>
      </c>
      <c r="AA7" s="22">
        <f t="shared" si="1"/>
        <v>46172</v>
      </c>
      <c r="AB7" s="22">
        <f t="shared" si="1"/>
        <v>46179</v>
      </c>
    </row>
    <row r="8" spans="1:28" s="5" customFormat="1" x14ac:dyDescent="0.3">
      <c r="A8" s="5" t="s">
        <v>0</v>
      </c>
      <c r="B8" s="5" t="s">
        <v>18</v>
      </c>
      <c r="C8" s="5" t="s">
        <v>19</v>
      </c>
      <c r="D8" s="5" t="s">
        <v>1</v>
      </c>
      <c r="E8" s="5" t="s">
        <v>20</v>
      </c>
      <c r="F8" s="5" t="s">
        <v>2</v>
      </c>
      <c r="G8" s="21">
        <v>1</v>
      </c>
      <c r="H8" s="21">
        <f>G8+1</f>
        <v>2</v>
      </c>
      <c r="I8" s="21">
        <f t="shared" ref="I8:U8" si="2">H8+1</f>
        <v>3</v>
      </c>
      <c r="J8" s="21">
        <f t="shared" si="2"/>
        <v>4</v>
      </c>
      <c r="K8" s="21">
        <f t="shared" si="2"/>
        <v>5</v>
      </c>
      <c r="L8" s="21">
        <f t="shared" si="2"/>
        <v>6</v>
      </c>
      <c r="M8" s="21">
        <f t="shared" si="2"/>
        <v>7</v>
      </c>
      <c r="N8" s="21">
        <f t="shared" si="2"/>
        <v>8</v>
      </c>
      <c r="O8" s="21">
        <f t="shared" si="2"/>
        <v>9</v>
      </c>
      <c r="P8" s="21">
        <f t="shared" si="2"/>
        <v>10</v>
      </c>
      <c r="Q8" s="21">
        <f t="shared" si="2"/>
        <v>11</v>
      </c>
      <c r="R8" s="21">
        <f t="shared" si="2"/>
        <v>12</v>
      </c>
      <c r="S8" s="21">
        <f t="shared" si="2"/>
        <v>13</v>
      </c>
      <c r="T8" s="21">
        <f t="shared" si="2"/>
        <v>14</v>
      </c>
      <c r="U8" s="21">
        <f t="shared" si="2"/>
        <v>15</v>
      </c>
      <c r="V8" s="21">
        <f>U8+1</f>
        <v>16</v>
      </c>
      <c r="W8" s="21">
        <f t="shared" ref="W8:AB8" si="3">V8+1</f>
        <v>17</v>
      </c>
      <c r="X8" s="21">
        <f t="shared" si="3"/>
        <v>18</v>
      </c>
      <c r="Y8" s="21">
        <f t="shared" si="3"/>
        <v>19</v>
      </c>
      <c r="Z8" s="21">
        <f t="shared" si="3"/>
        <v>20</v>
      </c>
      <c r="AA8" s="21">
        <f t="shared" si="3"/>
        <v>21</v>
      </c>
      <c r="AB8" s="21">
        <f t="shared" si="3"/>
        <v>22</v>
      </c>
    </row>
    <row r="9" spans="1:28" s="6" customFormat="1" x14ac:dyDescent="0.3">
      <c r="A9" s="17" t="s">
        <v>7</v>
      </c>
      <c r="B9" s="13"/>
      <c r="C9" s="18"/>
      <c r="D9" s="19"/>
      <c r="E9" s="14"/>
      <c r="F9" s="20"/>
    </row>
    <row r="10" spans="1:28" x14ac:dyDescent="0.3">
      <c r="A10" s="7" t="s">
        <v>3</v>
      </c>
      <c r="B10" s="8" t="s">
        <v>8</v>
      </c>
      <c r="C10" s="9">
        <v>46032</v>
      </c>
      <c r="D10" s="9">
        <v>46081</v>
      </c>
      <c r="E10" s="10">
        <v>50</v>
      </c>
      <c r="F10" s="11">
        <v>0.9</v>
      </c>
    </row>
    <row r="11" spans="1:28" x14ac:dyDescent="0.3">
      <c r="A11" s="7" t="s">
        <v>4</v>
      </c>
      <c r="B11" s="8" t="s">
        <v>9</v>
      </c>
      <c r="C11" s="9">
        <v>46041</v>
      </c>
      <c r="D11" s="9">
        <v>46110</v>
      </c>
      <c r="E11" s="10">
        <v>70</v>
      </c>
      <c r="F11" s="11">
        <v>0.75</v>
      </c>
    </row>
    <row r="12" spans="1:28" x14ac:dyDescent="0.3">
      <c r="A12" s="7" t="s">
        <v>5</v>
      </c>
      <c r="B12" s="8" t="s">
        <v>10</v>
      </c>
      <c r="C12" s="9">
        <v>46060</v>
      </c>
      <c r="D12" s="9">
        <v>46107</v>
      </c>
      <c r="E12" s="10">
        <v>48</v>
      </c>
      <c r="F12" s="11">
        <v>1</v>
      </c>
    </row>
    <row r="13" spans="1:28" x14ac:dyDescent="0.3">
      <c r="A13" s="7" t="s">
        <v>6</v>
      </c>
      <c r="B13" s="8" t="s">
        <v>11</v>
      </c>
      <c r="C13" s="9">
        <v>46075</v>
      </c>
      <c r="D13" s="9">
        <v>46109</v>
      </c>
      <c r="E13" s="10">
        <v>35</v>
      </c>
      <c r="F13" s="11">
        <v>0.9</v>
      </c>
    </row>
    <row r="14" spans="1:28" s="6" customFormat="1" x14ac:dyDescent="0.3">
      <c r="A14" s="12"/>
      <c r="B14" s="13"/>
      <c r="C14" s="13"/>
      <c r="D14" s="13"/>
      <c r="E14" s="14"/>
      <c r="F14" s="13"/>
    </row>
    <row r="15" spans="1:28" x14ac:dyDescent="0.3">
      <c r="A15" s="7" t="s">
        <v>3</v>
      </c>
      <c r="B15" s="8" t="s">
        <v>12</v>
      </c>
      <c r="C15" s="9">
        <v>46083</v>
      </c>
      <c r="D15" s="9">
        <v>46115</v>
      </c>
      <c r="E15" s="10">
        <v>32</v>
      </c>
      <c r="F15" s="11">
        <v>0.3</v>
      </c>
    </row>
    <row r="16" spans="1:28" x14ac:dyDescent="0.3">
      <c r="A16" s="7" t="s">
        <v>4</v>
      </c>
      <c r="B16" s="8" t="s">
        <v>13</v>
      </c>
      <c r="C16" s="9">
        <v>46103</v>
      </c>
      <c r="D16" s="9">
        <v>46163</v>
      </c>
      <c r="E16" s="10">
        <v>60</v>
      </c>
      <c r="F16" s="11">
        <v>0.5</v>
      </c>
    </row>
    <row r="17" spans="1:6" x14ac:dyDescent="0.3">
      <c r="A17" s="7" t="s">
        <v>5</v>
      </c>
      <c r="B17" s="8" t="s">
        <v>14</v>
      </c>
      <c r="C17" s="9">
        <v>46111</v>
      </c>
      <c r="D17" s="9">
        <v>46151</v>
      </c>
      <c r="E17" s="10">
        <v>40</v>
      </c>
      <c r="F17" s="11">
        <v>0.5</v>
      </c>
    </row>
    <row r="18" spans="1:6" x14ac:dyDescent="0.3">
      <c r="A18" s="7" t="s">
        <v>6</v>
      </c>
      <c r="B18" s="8" t="s">
        <v>15</v>
      </c>
      <c r="C18" s="9">
        <v>46118</v>
      </c>
      <c r="D18" s="9">
        <v>46173</v>
      </c>
      <c r="E18" s="10">
        <v>55</v>
      </c>
      <c r="F18" s="11">
        <v>1</v>
      </c>
    </row>
    <row r="19" spans="1:6" x14ac:dyDescent="0.3">
      <c r="A19" s="7" t="s">
        <v>16</v>
      </c>
      <c r="B19" s="8" t="s">
        <v>17</v>
      </c>
      <c r="C19" s="9">
        <v>46125</v>
      </c>
      <c r="D19" s="9">
        <v>46155</v>
      </c>
      <c r="E19" s="10">
        <v>30</v>
      </c>
      <c r="F19" s="11">
        <v>0.8</v>
      </c>
    </row>
    <row r="20" spans="1:6" s="6" customFormat="1" x14ac:dyDescent="0.3">
      <c r="A20" s="12"/>
      <c r="B20" s="13"/>
      <c r="C20" s="13"/>
      <c r="D20" s="13"/>
      <c r="E20" s="14"/>
      <c r="F20" s="13"/>
    </row>
    <row r="21" spans="1:6" x14ac:dyDescent="0.3">
      <c r="A21" s="7" t="s">
        <v>3</v>
      </c>
      <c r="B21" s="8" t="s">
        <v>8</v>
      </c>
      <c r="C21" s="9">
        <v>46105</v>
      </c>
      <c r="D21" s="9">
        <v>46137</v>
      </c>
      <c r="E21" s="10">
        <v>32</v>
      </c>
      <c r="F21" s="11">
        <v>0.3</v>
      </c>
    </row>
    <row r="22" spans="1:6" x14ac:dyDescent="0.3">
      <c r="A22" s="7" t="s">
        <v>4</v>
      </c>
      <c r="B22" s="8" t="s">
        <v>9</v>
      </c>
      <c r="C22" s="9">
        <v>46113</v>
      </c>
      <c r="D22" s="9">
        <v>46173</v>
      </c>
      <c r="E22" s="10">
        <v>60</v>
      </c>
      <c r="F22" s="11">
        <v>0.5</v>
      </c>
    </row>
    <row r="23" spans="1:6" x14ac:dyDescent="0.3">
      <c r="A23" s="3"/>
    </row>
    <row r="24" spans="1:6" x14ac:dyDescent="0.3">
      <c r="C24" s="1"/>
      <c r="F24" s="2"/>
    </row>
    <row r="25" spans="1:6" x14ac:dyDescent="0.3">
      <c r="F25" s="2"/>
    </row>
    <row r="26" spans="1:6" x14ac:dyDescent="0.3">
      <c r="C26" s="1"/>
      <c r="F26" s="2"/>
    </row>
    <row r="27" spans="1:6" x14ac:dyDescent="0.3">
      <c r="F27" s="2"/>
    </row>
    <row r="30" spans="1:6" x14ac:dyDescent="0.3">
      <c r="C30" s="1"/>
      <c r="D30" s="1"/>
      <c r="F30" s="2"/>
    </row>
    <row r="31" spans="1:6" x14ac:dyDescent="0.3">
      <c r="F31" s="2"/>
    </row>
    <row r="32" spans="1:6" x14ac:dyDescent="0.3">
      <c r="D32" s="1"/>
      <c r="F32" s="2"/>
    </row>
    <row r="33" spans="3:6" x14ac:dyDescent="0.3">
      <c r="C33" s="1"/>
      <c r="F33" s="2"/>
    </row>
    <row r="34" spans="3:6" x14ac:dyDescent="0.3">
      <c r="F34" s="2"/>
    </row>
    <row r="37" spans="3:6" x14ac:dyDescent="0.3">
      <c r="F37" s="2"/>
    </row>
    <row r="38" spans="3:6" x14ac:dyDescent="0.3">
      <c r="C38" s="1"/>
      <c r="F38" s="2"/>
    </row>
    <row r="39" spans="3:6" x14ac:dyDescent="0.3">
      <c r="C39" s="1"/>
      <c r="F39" s="2"/>
    </row>
  </sheetData>
  <phoneticPr fontId="2" type="noConversion"/>
  <conditionalFormatting sqref="F10:F22">
    <cfRule type="dataBar" priority="9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{FD5C52B5-A0D3-421D-9957-AD7F5AE6D7B5}</x14:id>
        </ext>
      </extLst>
    </cfRule>
  </conditionalFormatting>
  <conditionalFormatting sqref="G10:AB22">
    <cfRule type="expression" dxfId="3" priority="3">
      <formula>AND(G$7&gt;=$C10,G$7&lt;=$D10)</formula>
    </cfRule>
    <cfRule type="expression" dxfId="2" priority="1">
      <formula>AND(G$7&gt;=$C10,G$7&lt;=$C10+($E10*$F10)-1)</formula>
    </cfRule>
  </conditionalFormatting>
  <pageMargins left="0.7" right="0.7" top="0.75" bottom="0.75" header="0.3" footer="0.3"/>
  <pageSetup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D5C52B5-A0D3-421D-9957-AD7F5AE6D7B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F10:F22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Ravi Ardhana</dc:creator>
  <cp:lastModifiedBy>Ravi Ardhana</cp:lastModifiedBy>
  <dcterms:created xsi:type="dcterms:W3CDTF">2026-10-30T18:07:54Z</dcterms:created>
  <dcterms:modified xsi:type="dcterms:W3CDTF">2026-10-30T19:38:13Z</dcterms:modified>
</cp:coreProperties>
</file>